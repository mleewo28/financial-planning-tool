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1020" codeName="{52B413DB-416B-A148-0A32-6202AF4EA34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/Users/mikaelaleewo/Downloads/"/>
    </mc:Choice>
  </mc:AlternateContent>
  <xr:revisionPtr revIDLastSave="0" documentId="8_{276F7180-77B4-F048-A9D3-22B53118E822}" xr6:coauthVersionLast="47" xr6:coauthVersionMax="47" xr10:uidLastSave="{00000000-0000-0000-0000-000000000000}"/>
  <bookViews>
    <workbookView xWindow="0" yWindow="660" windowWidth="25720" windowHeight="16680" xr2:uid="{00000000-000D-0000-FFFF-FFFF00000000}"/>
  </bookViews>
  <sheets>
    <sheet name="Introduction" sheetId="5" r:id="rId1"/>
    <sheet name="Expenses&amp;Incomes" sheetId="1" r:id="rId2"/>
    <sheet name="Goals" sheetId="4" r:id="rId3"/>
    <sheet name="Output" sheetId="2" r:id="rId4"/>
    <sheet name="Financial Advice" sheetId="3" r:id="rId5"/>
  </sheets>
  <definedNames>
    <definedName name="_xleta.SUM" hidden="1" xlm="1">#NAME?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0" i="1" l="1"/>
  <c r="B30" i="1"/>
  <c r="F6" i="2"/>
  <c r="F5" i="2"/>
  <c r="F4" i="2"/>
  <c r="F3" i="2"/>
  <c r="F2" i="2"/>
  <c r="F7" i="2"/>
</calcChain>
</file>

<file path=xl/sharedStrings.xml><?xml version="1.0" encoding="utf-8"?>
<sst xmlns="http://schemas.openxmlformats.org/spreadsheetml/2006/main" count="102" uniqueCount="59">
  <si>
    <t>Date</t>
  </si>
  <si>
    <t>Item</t>
  </si>
  <si>
    <t>Category</t>
  </si>
  <si>
    <t>Description</t>
  </si>
  <si>
    <t>Start Date</t>
  </si>
  <si>
    <t>End Date</t>
  </si>
  <si>
    <t>Financial Advice</t>
  </si>
  <si>
    <r>
      <rPr>
        <sz val="40"/>
        <color theme="9" tint="-0.499984740745262"/>
        <rFont val="Bernard MT Condensed"/>
        <family val="1"/>
      </rPr>
      <t>Welcome to the Ultimate Financial Planner</t>
    </r>
    <r>
      <rPr>
        <sz val="40"/>
        <color theme="9" tint="-0.499984740745262"/>
        <rFont val="Arial Rounded MT Bold"/>
        <family val="2"/>
      </rPr>
      <t xml:space="preserve"> </t>
    </r>
  </si>
  <si>
    <t xml:space="preserve">Add Expenses and Incomes! </t>
  </si>
  <si>
    <t>View your Progress!</t>
  </si>
  <si>
    <t>Add Financial Goals!</t>
  </si>
  <si>
    <t xml:space="preserve">Seek Financial Advice! </t>
  </si>
  <si>
    <t>Milk</t>
  </si>
  <si>
    <t>Groceries</t>
  </si>
  <si>
    <t>Weekly Longo's shopping trip</t>
  </si>
  <si>
    <t>Price</t>
  </si>
  <si>
    <t>Cheese</t>
  </si>
  <si>
    <t xml:space="preserve">Weekly Longo's run </t>
  </si>
  <si>
    <t>Emergency Fund</t>
  </si>
  <si>
    <t>Gluten free bread</t>
  </si>
  <si>
    <t>Weekly longos shop</t>
  </si>
  <si>
    <t xml:space="preserve">Chicken </t>
  </si>
  <si>
    <t>Pasta sauce</t>
  </si>
  <si>
    <t>Frozen pizza</t>
  </si>
  <si>
    <t>TFSA</t>
  </si>
  <si>
    <t>Money put towards savings</t>
  </si>
  <si>
    <t>Brandy Sweatpants</t>
  </si>
  <si>
    <t>Clothes</t>
  </si>
  <si>
    <t>Downtown shopping trip</t>
  </si>
  <si>
    <t>Interview shirt</t>
  </si>
  <si>
    <t>Mall</t>
  </si>
  <si>
    <t xml:space="preserve">Monthly rent </t>
  </si>
  <si>
    <t>Rent</t>
  </si>
  <si>
    <t xml:space="preserve">Rent </t>
  </si>
  <si>
    <t>Hydro bill</t>
  </si>
  <si>
    <t>Utilities</t>
  </si>
  <si>
    <t>Hydro</t>
  </si>
  <si>
    <t>Electrical bill</t>
  </si>
  <si>
    <t>Electricity</t>
  </si>
  <si>
    <t>Total Spent on Month Interval</t>
  </si>
  <si>
    <t xml:space="preserve">Emergency Fund </t>
  </si>
  <si>
    <t xml:space="preserve">Aritzia skirt </t>
  </si>
  <si>
    <t>Lulu dress</t>
  </si>
  <si>
    <t>Lulu running shirt</t>
  </si>
  <si>
    <t>New balance shoes</t>
  </si>
  <si>
    <t>Uggs</t>
  </si>
  <si>
    <t xml:space="preserve">Total </t>
  </si>
  <si>
    <t xml:space="preserve">Ideal Spending for each month </t>
  </si>
  <si>
    <t>Pho</t>
  </si>
  <si>
    <t xml:space="preserve">Friday Dinner </t>
  </si>
  <si>
    <r>
      <rPr>
        <sz val="28"/>
        <color theme="4" tint="-0.499984740745262"/>
        <rFont val="ADLaM Display"/>
      </rPr>
      <t>Income and Expense Summary</t>
    </r>
    <r>
      <rPr>
        <sz val="28"/>
        <color theme="1"/>
        <rFont val="ADLaM Display"/>
      </rPr>
      <t xml:space="preserve"> </t>
    </r>
  </si>
  <si>
    <t xml:space="preserve">Income </t>
  </si>
  <si>
    <t xml:space="preserve">Expense </t>
  </si>
  <si>
    <t xml:space="preserve">dfg </t>
  </si>
  <si>
    <t>dxfbg</t>
  </si>
  <si>
    <t xml:space="preserve">Total: </t>
  </si>
  <si>
    <t xml:space="preserve">See above! </t>
  </si>
  <si>
    <t>3.45+E2:E22</t>
  </si>
  <si>
    <t>Mikaela's Financial Planner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</si>
</sst>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&quot;$&quot;* #,##0.00_-;\-&quot;$&quot;* #,##0.00_-;_-&quot;$&quot;* &quot;-&quot;??_-;_-@_-"/>
    <numFmt numFmtId="165" formatCode="yyyy\-mm\-dd;@"/>
    <numFmt numFmtId="166" formatCode="&quot;$&quot;#,##0.00"/>
  </numFmts>
  <fonts count="18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sz val="20"/>
      <color theme="0"/>
      <name val="Congenial Black"/>
    </font>
    <font>
      <b/>
      <sz val="36"/>
      <color theme="8" tint="-0.499984740745262"/>
      <name val="Baguet Script"/>
    </font>
    <font>
      <sz val="40"/>
      <color theme="9" tint="-0.499984740745262"/>
      <name val="Bernard MT Condensed"/>
      <family val="1"/>
    </font>
    <font>
      <sz val="40"/>
      <color theme="9" tint="-0.499984740745262"/>
      <name val="Arial Rounded MT Bold"/>
      <family val="2"/>
    </font>
    <font>
      <sz val="40"/>
      <color theme="9" tint="-0.499984740745262"/>
      <name val="Arial Rounded MT Bold"/>
      <family val="1"/>
    </font>
    <font>
      <b/>
      <sz val="16"/>
      <color rgb="FF800000"/>
      <name val="Calibri"/>
      <family val="2"/>
    </font>
    <font>
      <sz val="11"/>
      <color theme="1"/>
      <name val="Calibri"/>
      <family val="2"/>
      <scheme val="minor"/>
    </font>
    <font>
      <sz val="11"/>
      <color theme="0" tint="-4.9989318521683403E-2"/>
      <name val="Aharoni"/>
      <charset val="177"/>
    </font>
    <font>
      <sz val="11"/>
      <color theme="0" tint="-4.9989318521683403E-2"/>
      <name val="Aptos Black"/>
      <family val="2"/>
    </font>
    <font>
      <sz val="10"/>
      <color theme="0" tint="-4.9989318521683403E-2"/>
      <name val="Aptos Black"/>
      <family val="2"/>
    </font>
    <font>
      <sz val="28"/>
      <color theme="1"/>
      <name val="ADLaM Display"/>
    </font>
    <font>
      <sz val="28"/>
      <color theme="4" tint="-0.499984740745262"/>
      <name val="ADLaM Display"/>
    </font>
    <font>
      <sz val="8"/>
      <name val="Calibri"/>
      <family val="2"/>
      <scheme val="minor"/>
    </font>
    <font>
      <sz val="18"/>
      <color theme="4" tint="-0.499984740745262"/>
      <name val="Calibri"/>
      <family val="2"/>
      <scheme val="minor"/>
    </font>
    <font>
      <sz val="18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8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5D5FF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164" fontId="9" fillId="0" borderId="0" applyFont="0" applyFill="0" applyBorder="0" applyAlignment="0" applyProtection="0"/>
  </cellStyleXfs>
  <cellXfs count="31">
    <xf numFmtId="0" fontId="0" fillId="0" borderId="0" xfId="0"/>
    <xf numFmtId="0" fontId="1" fillId="2" borderId="1" xfId="1" applyBorder="1"/>
    <xf numFmtId="165" fontId="0" fillId="0" borderId="0" xfId="0" applyNumberFormat="1"/>
    <xf numFmtId="0" fontId="1" fillId="2" borderId="0" xfId="1"/>
    <xf numFmtId="0" fontId="3" fillId="3" borderId="2" xfId="1" applyFont="1" applyFill="1" applyBorder="1"/>
    <xf numFmtId="0" fontId="3" fillId="3" borderId="3" xfId="1" applyFont="1" applyFill="1" applyBorder="1"/>
    <xf numFmtId="0" fontId="3" fillId="3" borderId="4" xfId="1" applyFont="1" applyFill="1" applyBorder="1"/>
    <xf numFmtId="0" fontId="0" fillId="4" borderId="0" xfId="0" applyFill="1"/>
    <xf numFmtId="0" fontId="7" fillId="4" borderId="0" xfId="0" applyFont="1" applyFill="1"/>
    <xf numFmtId="0" fontId="0" fillId="5" borderId="0" xfId="0" applyFill="1"/>
    <xf numFmtId="0" fontId="10" fillId="5" borderId="0" xfId="0" applyFont="1" applyFill="1"/>
    <xf numFmtId="0" fontId="11" fillId="5" borderId="0" xfId="0" applyFont="1" applyFill="1"/>
    <xf numFmtId="0" fontId="12" fillId="5" borderId="0" xfId="0" applyFont="1" applyFill="1"/>
    <xf numFmtId="166" fontId="3" fillId="3" borderId="0" xfId="2" applyNumberFormat="1" applyFont="1" applyFill="1" applyBorder="1"/>
    <xf numFmtId="166" fontId="0" fillId="0" borderId="0" xfId="2" applyNumberFormat="1" applyFont="1"/>
    <xf numFmtId="166" fontId="0" fillId="0" borderId="0" xfId="0" applyNumberFormat="1"/>
    <xf numFmtId="0" fontId="16" fillId="7" borderId="0" xfId="0" applyFont="1" applyFill="1"/>
    <xf numFmtId="2" fontId="16" fillId="7" borderId="0" xfId="0" applyNumberFormat="1" applyFont="1" applyFill="1"/>
    <xf numFmtId="165" fontId="0" fillId="7" borderId="0" xfId="0" applyNumberFormat="1" applyFill="1"/>
    <xf numFmtId="0" fontId="0" fillId="7" borderId="0" xfId="0" applyFill="1"/>
    <xf numFmtId="166" fontId="0" fillId="7" borderId="0" xfId="2" applyNumberFormat="1" applyFont="1" applyFill="1"/>
    <xf numFmtId="0" fontId="17" fillId="8" borderId="0" xfId="0" applyFont="1" applyFill="1"/>
    <xf numFmtId="0" fontId="16" fillId="8" borderId="0" xfId="0" applyFont="1" applyFill="1"/>
    <xf numFmtId="166" fontId="16" fillId="7" borderId="0" xfId="0" applyNumberFormat="1" applyFont="1" applyFill="1"/>
    <xf numFmtId="165" fontId="13" fillId="9" borderId="0" xfId="0" applyNumberFormat="1" applyFont="1" applyFill="1"/>
    <xf numFmtId="0" fontId="0" fillId="9" borderId="0" xfId="0" applyFill="1"/>
    <xf numFmtId="166" fontId="0" fillId="9" borderId="0" xfId="2" applyNumberFormat="1" applyFont="1" applyFill="1"/>
    <xf numFmtId="165" fontId="16" fillId="10" borderId="0" xfId="0" applyNumberFormat="1" applyFont="1" applyFill="1"/>
    <xf numFmtId="0" fontId="16" fillId="10" borderId="0" xfId="0" applyFont="1" applyFill="1"/>
    <xf numFmtId="0" fontId="0" fillId="6" borderId="0" xfId="0" applyFill="1" applyAlignment="1">
      <alignment horizontal="center"/>
    </xf>
    <xf numFmtId="0" fontId="4" fillId="4" borderId="0" xfId="0" applyFont="1" applyFill="1" applyAlignment="1">
      <alignment horizontal="center"/>
    </xf>
  </cellXfs>
  <cellStyles count="3">
    <cellStyle name="Accent5" xfId="1" builtinId="45"/>
    <cellStyle name="Currency" xfId="2" builtinId="4"/>
    <cellStyle name="Normal" xfId="0" builtinId="0"/>
  </cellStyles>
  <dxfs count="7">
    <dxf>
      <font>
        <strike val="0"/>
        <outline val="0"/>
        <shadow val="0"/>
        <u val="none"/>
        <vertAlign val="baseline"/>
        <sz val="18"/>
        <color theme="4" tint="-0.499984740745262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8"/>
        <color theme="4" tint="-0.499984740745262"/>
        <name val="Calibri"/>
        <family val="2"/>
        <scheme val="minor"/>
      </font>
      <numFmt numFmtId="2" formatCode="0.0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8"/>
        <color theme="4" tint="-0.499984740745262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8"/>
        <color theme="4" tint="-0.499984740745262"/>
        <name val="Calibri"/>
        <family val="2"/>
        <scheme val="minor"/>
      </font>
      <fill>
        <patternFill patternType="solid">
          <fgColor indexed="64"/>
          <bgColor theme="8" tint="0.79998168889431442"/>
        </patternFill>
      </fill>
    </dxf>
    <dxf>
      <numFmt numFmtId="166" formatCode="&quot;$&quot;#,##0.00"/>
    </dxf>
    <dxf>
      <numFmt numFmtId="165" formatCode="yyyy\-mm\-dd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0"/>
        <name val="Congenial Black"/>
        <scheme val="none"/>
      </font>
      <fill>
        <patternFill patternType="solid">
          <fgColor indexed="64"/>
          <bgColor theme="4" tint="0.59999389629810485"/>
        </patternFill>
      </fill>
    </dxf>
  </dxfs>
  <tableStyles count="0" defaultTableStyle="TableStyleMedium2" defaultPivotStyle="PivotStyleMedium9"/>
  <colors>
    <mruColors>
      <color rgb="FFD5D5FF"/>
      <color rgb="FF9999FF"/>
      <color rgb="FFF6FFF3"/>
      <color rgb="FFE8E2FE"/>
      <color rgb="FFFFF3FD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Used</a:t>
            </a:r>
            <a:r>
              <a:rPr lang="en-CA" baseline="0"/>
              <a:t> Income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CA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'Expenses&amp;Incomes'!$A$23</c:f>
              <c:strCache>
                <c:ptCount val="1"/>
                <c:pt idx="0">
                  <c:v>Income 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BB0-4965-A77A-0AF459CE9C2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BB0-4965-A77A-0AF459CE9C2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BB0-4965-A77A-0AF459CE9C27}"/>
              </c:ext>
            </c:extLst>
          </c:dPt>
          <c:dPt>
            <c:idx val="3"/>
            <c:bubble3D val="0"/>
            <c:explosion val="64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E6F1-4A8F-A9F0-D6E3DC98F801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EBB0-4965-A77A-0AF459CE9C27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EBB0-4965-A77A-0AF459CE9C27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EBB0-4965-A77A-0AF459CE9C27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EBB0-4965-A77A-0AF459CE9C27}"/>
              </c:ext>
            </c:extLst>
          </c:dPt>
          <c:val>
            <c:numRef>
              <c:f>'Expenses&amp;Incomes'!$A$24:$A$31</c:f>
              <c:numCache>
                <c:formatCode>"$"#,##0.00</c:formatCode>
                <c:ptCount val="8"/>
                <c:pt idx="0">
                  <c:v>34</c:v>
                </c:pt>
                <c:pt idx="1">
                  <c:v>45</c:v>
                </c:pt>
                <c:pt idx="2">
                  <c:v>67</c:v>
                </c:pt>
                <c:pt idx="3">
                  <c:v>4000</c:v>
                </c:pt>
                <c:pt idx="4">
                  <c:v>26</c:v>
                </c:pt>
                <c:pt idx="5" formatCode="General">
                  <c:v>0</c:v>
                </c:pt>
                <c:pt idx="6">
                  <c:v>4172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6F1-4A8F-A9F0-D6E3DC98F801}"/>
            </c:ext>
          </c:extLst>
        </c:ser>
        <c:ser>
          <c:idx val="1"/>
          <c:order val="1"/>
          <c:tx>
            <c:strRef>
              <c:f>'Expenses&amp;Incomes'!$B$23</c:f>
              <c:strCache>
                <c:ptCount val="1"/>
                <c:pt idx="0">
                  <c:v>Expense 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EBB0-4965-A77A-0AF459CE9C2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EBB0-4965-A77A-0AF459CE9C2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EBB0-4965-A77A-0AF459CE9C2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EBB0-4965-A77A-0AF459CE9C27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EBB0-4965-A77A-0AF459CE9C27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EBB0-4965-A77A-0AF459CE9C27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EBB0-4965-A77A-0AF459CE9C27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EBB0-4965-A77A-0AF459CE9C27}"/>
              </c:ext>
            </c:extLst>
          </c:dPt>
          <c:val>
            <c:numRef>
              <c:f>'Expenses&amp;Incomes'!$B$24:$B$31</c:f>
              <c:numCache>
                <c:formatCode>General</c:formatCode>
                <c:ptCount val="8"/>
                <c:pt idx="0">
                  <c:v>0</c:v>
                </c:pt>
                <c:pt idx="5">
                  <c:v>0</c:v>
                </c:pt>
                <c:pt idx="6" formatCode="&quot;$&quot;#,##0.00">
                  <c:v>1529.43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6F1-4A8F-A9F0-D6E3DC98F8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Overall</a:t>
            </a:r>
            <a:r>
              <a:rPr lang="en-CA" baseline="0"/>
              <a:t> Distribution of Money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CA"/>
        </a:p>
      </c:txPr>
    </c:title>
    <c:autoTitleDeleted val="0"/>
    <c:plotArea>
      <c:layout>
        <c:manualLayout>
          <c:layoutTarget val="inner"/>
          <c:xMode val="edge"/>
          <c:yMode val="edge"/>
          <c:x val="0.1107655293088364"/>
          <c:y val="0.13930555555555557"/>
          <c:w val="0.84589129483814518"/>
          <c:h val="0.72088764946048411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'Expenses&amp;Incomes'!$E$2:$E$22</c:f>
              <c:numCache>
                <c:formatCode>"$"#,##0.00</c:formatCode>
                <c:ptCount val="21"/>
                <c:pt idx="0">
                  <c:v>0</c:v>
                </c:pt>
                <c:pt idx="1">
                  <c:v>8.32</c:v>
                </c:pt>
                <c:pt idx="2">
                  <c:v>7.47</c:v>
                </c:pt>
                <c:pt idx="3">
                  <c:v>15.67</c:v>
                </c:pt>
                <c:pt idx="4">
                  <c:v>4.5599999999999996</c:v>
                </c:pt>
                <c:pt idx="5">
                  <c:v>9.24</c:v>
                </c:pt>
                <c:pt idx="6">
                  <c:v>200</c:v>
                </c:pt>
                <c:pt idx="7">
                  <c:v>53.85</c:v>
                </c:pt>
                <c:pt idx="8">
                  <c:v>28.88</c:v>
                </c:pt>
                <c:pt idx="9">
                  <c:v>585</c:v>
                </c:pt>
                <c:pt idx="10">
                  <c:v>78</c:v>
                </c:pt>
                <c:pt idx="11">
                  <c:v>42.44</c:v>
                </c:pt>
                <c:pt idx="12">
                  <c:v>45</c:v>
                </c:pt>
                <c:pt idx="13">
                  <c:v>128</c:v>
                </c:pt>
                <c:pt idx="14">
                  <c:v>68</c:v>
                </c:pt>
                <c:pt idx="15">
                  <c:v>98</c:v>
                </c:pt>
                <c:pt idx="16">
                  <c:v>142</c:v>
                </c:pt>
                <c:pt idx="17">
                  <c:v>10</c:v>
                </c:pt>
                <c:pt idx="18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21-4B2A-AAA3-4D909231A6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04790560"/>
        <c:axId val="1304798240"/>
      </c:barChart>
      <c:catAx>
        <c:axId val="130479056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4798240"/>
        <c:crosses val="autoZero"/>
        <c:auto val="1"/>
        <c:lblAlgn val="ctr"/>
        <c:lblOffset val="100"/>
        <c:noMultiLvlLbl val="0"/>
      </c:catAx>
      <c:valAx>
        <c:axId val="1304798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4790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Distribution</a:t>
            </a:r>
            <a:r>
              <a:rPr lang="en-CA" baseline="0"/>
              <a:t> of Money Spent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CA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831-48D1-BB95-7D20BEF163FA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F831-48D1-BB95-7D20BEF163FA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F831-48D1-BB95-7D20BEF163FA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F831-48D1-BB95-7D20BEF163FA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F831-48D1-BB95-7D20BEF163FA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F831-48D1-BB95-7D20BEF163FA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F831-48D1-BB95-7D20BEF163FA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F831-48D1-BB95-7D20BEF163FA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F831-48D1-BB95-7D20BEF163FA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F831-48D1-BB95-7D20BEF163FA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F831-48D1-BB95-7D20BEF163FA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F831-48D1-BB95-7D20BEF163FA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BF36-4689-9C3D-FE970E17C44B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BF36-4689-9C3D-FE970E17C44B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BF36-4689-9C3D-FE970E17C44B}"/>
              </c:ext>
            </c:extLst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BF36-4689-9C3D-FE970E17C44B}"/>
              </c:ext>
            </c:extLst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1-BF36-4689-9C3D-FE970E17C44B}"/>
              </c:ext>
            </c:extLst>
          </c:dPt>
          <c:dPt>
            <c:idx val="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3-0E08-404C-977B-ACD2576E6613}"/>
              </c:ext>
            </c:extLst>
          </c:dPt>
          <c:dPt>
            <c:idx val="18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5-2239-4371-8F95-A1E9521F816B}"/>
              </c:ext>
            </c:extLst>
          </c:dPt>
          <c:dPt>
            <c:idx val="19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7-2239-4371-8F95-A1E9521F816B}"/>
              </c:ext>
            </c:extLst>
          </c:dPt>
          <c:dPt>
            <c:idx val="20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9-2239-4371-8F95-A1E9521F816B}"/>
              </c:ext>
            </c:extLst>
          </c:dPt>
          <c:dLbls>
            <c:dLbl>
              <c:idx val="0"/>
              <c:layout>
                <c:manualLayout>
                  <c:x val="-0.22727605691108926"/>
                  <c:y val="0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F831-48D1-BB95-7D20BEF163FA}"/>
                </c:ext>
              </c:extLst>
            </c:dLbl>
            <c:dLbl>
              <c:idx val="1"/>
              <c:layout>
                <c:manualLayout>
                  <c:x val="-0.2943990374495975"/>
                  <c:y val="0.10528980844397476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831-48D1-BB95-7D20BEF163FA}"/>
                </c:ext>
              </c:extLst>
            </c:dLbl>
            <c:dLbl>
              <c:idx val="2"/>
              <c:layout>
                <c:manualLayout>
                  <c:x val="0.20961211466411342"/>
                  <c:y val="-1.214882405122787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F831-48D1-BB95-7D20BEF163FA}"/>
                </c:ext>
              </c:extLst>
            </c:dLbl>
            <c:dLbl>
              <c:idx val="3"/>
              <c:layout>
                <c:manualLayout>
                  <c:x val="-0.10716124963165349"/>
                  <c:y val="-1.214882405122787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831-48D1-BB95-7D20BEF163FA}"/>
                </c:ext>
              </c:extLst>
            </c:dLbl>
            <c:dLbl>
              <c:idx val="4"/>
              <c:layout>
                <c:manualLayout>
                  <c:x val="0.22138807616209724"/>
                  <c:y val="0.15590990865742421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F831-48D1-BB95-7D20BEF163FA}"/>
                </c:ext>
              </c:extLst>
            </c:dLbl>
            <c:dLbl>
              <c:idx val="5"/>
              <c:layout>
                <c:manualLayout>
                  <c:x val="8.2431730485887297E-3"/>
                  <c:y val="0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831-48D1-BB95-7D20BEF163FA}"/>
                </c:ext>
              </c:extLst>
            </c:dLbl>
            <c:dLbl>
              <c:idx val="11"/>
              <c:layout>
                <c:manualLayout>
                  <c:x val="-0.13895634567621007"/>
                  <c:y val="5.4669708230525374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F831-48D1-BB95-7D20BEF163FA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multiLvlStrRef>
              <c:f>'Expenses&amp;Incomes'!$C$2:$D$13</c:f>
              <c:multiLvlStrCache>
                <c:ptCount val="12"/>
                <c:lvl>
                  <c:pt idx="0">
                    <c:v>Weekly Longo's shopping trip</c:v>
                  </c:pt>
                  <c:pt idx="1">
                    <c:v>Weekly Longo's run </c:v>
                  </c:pt>
                  <c:pt idx="2">
                    <c:v>Weekly longos shop</c:v>
                  </c:pt>
                  <c:pt idx="3">
                    <c:v>Weekly longos shop</c:v>
                  </c:pt>
                  <c:pt idx="4">
                    <c:v>Weekly longos shop</c:v>
                  </c:pt>
                  <c:pt idx="5">
                    <c:v>Weekly longos shop</c:v>
                  </c:pt>
                  <c:pt idx="6">
                    <c:v>Money put towards savings</c:v>
                  </c:pt>
                  <c:pt idx="7">
                    <c:v>Downtown shopping trip</c:v>
                  </c:pt>
                  <c:pt idx="8">
                    <c:v>Mall</c:v>
                  </c:pt>
                  <c:pt idx="9">
                    <c:v>Rent </c:v>
                  </c:pt>
                  <c:pt idx="10">
                    <c:v>Hydro</c:v>
                  </c:pt>
                  <c:pt idx="11">
                    <c:v>Electricity</c:v>
                  </c:pt>
                </c:lvl>
                <c:lvl>
                  <c:pt idx="0">
                    <c:v>Groceries</c:v>
                  </c:pt>
                  <c:pt idx="1">
                    <c:v>Groceries</c:v>
                  </c:pt>
                  <c:pt idx="2">
                    <c:v>Groceries</c:v>
                  </c:pt>
                  <c:pt idx="3">
                    <c:v>Groceries</c:v>
                  </c:pt>
                  <c:pt idx="4">
                    <c:v>Groceries</c:v>
                  </c:pt>
                  <c:pt idx="5">
                    <c:v>Groceries</c:v>
                  </c:pt>
                  <c:pt idx="6">
                    <c:v>Emergency Fund</c:v>
                  </c:pt>
                  <c:pt idx="7">
                    <c:v>Clothes</c:v>
                  </c:pt>
                  <c:pt idx="8">
                    <c:v>Clothes</c:v>
                  </c:pt>
                  <c:pt idx="9">
                    <c:v>Rent</c:v>
                  </c:pt>
                  <c:pt idx="10">
                    <c:v>Utilities</c:v>
                  </c:pt>
                  <c:pt idx="11">
                    <c:v>Utilities</c:v>
                  </c:pt>
                </c:lvl>
              </c:multiLvlStrCache>
            </c:multiLvlStrRef>
          </c:cat>
          <c:val>
            <c:numRef>
              <c:f>'Expenses&amp;Incomes'!$E$2:$E$22</c:f>
              <c:numCache>
                <c:formatCode>"$"#,##0.00</c:formatCode>
                <c:ptCount val="21"/>
                <c:pt idx="0">
                  <c:v>0</c:v>
                </c:pt>
                <c:pt idx="1">
                  <c:v>8.32</c:v>
                </c:pt>
                <c:pt idx="2">
                  <c:v>7.47</c:v>
                </c:pt>
                <c:pt idx="3">
                  <c:v>15.67</c:v>
                </c:pt>
                <c:pt idx="4">
                  <c:v>4.5599999999999996</c:v>
                </c:pt>
                <c:pt idx="5">
                  <c:v>9.24</c:v>
                </c:pt>
                <c:pt idx="6">
                  <c:v>200</c:v>
                </c:pt>
                <c:pt idx="7">
                  <c:v>53.85</c:v>
                </c:pt>
                <c:pt idx="8">
                  <c:v>28.88</c:v>
                </c:pt>
                <c:pt idx="9">
                  <c:v>585</c:v>
                </c:pt>
                <c:pt idx="10">
                  <c:v>78</c:v>
                </c:pt>
                <c:pt idx="11">
                  <c:v>42.44</c:v>
                </c:pt>
                <c:pt idx="12">
                  <c:v>45</c:v>
                </c:pt>
                <c:pt idx="13">
                  <c:v>128</c:v>
                </c:pt>
                <c:pt idx="14">
                  <c:v>68</c:v>
                </c:pt>
                <c:pt idx="15">
                  <c:v>98</c:v>
                </c:pt>
                <c:pt idx="16">
                  <c:v>142</c:v>
                </c:pt>
                <c:pt idx="17">
                  <c:v>10</c:v>
                </c:pt>
                <c:pt idx="18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F831-48D1-BB95-7D20BEF163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svg"/><Relationship Id="rId7" Type="http://schemas.openxmlformats.org/officeDocument/2006/relationships/image" Target="../media/image7.svg"/><Relationship Id="rId2" Type="http://schemas.openxmlformats.org/officeDocument/2006/relationships/image" Target="../media/image2.png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5" Type="http://schemas.openxmlformats.org/officeDocument/2006/relationships/image" Target="../media/image5.svg"/><Relationship Id="rId4" Type="http://schemas.openxmlformats.org/officeDocument/2006/relationships/image" Target="../media/image4.png"/><Relationship Id="rId9" Type="http://schemas.openxmlformats.org/officeDocument/2006/relationships/image" Target="../media/image9.sv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328613</xdr:colOff>
      <xdr:row>0</xdr:row>
      <xdr:rowOff>171450</xdr:rowOff>
    </xdr:from>
    <xdr:to>
      <xdr:col>21</xdr:col>
      <xdr:colOff>9525</xdr:colOff>
      <xdr:row>12</xdr:row>
      <xdr:rowOff>176761</xdr:rowOff>
    </xdr:to>
    <xdr:pic>
      <xdr:nvPicPr>
        <xdr:cNvPr id="3" name="Picture 2" descr="Coins in jar illustration">
          <a:extLst>
            <a:ext uri="{FF2B5EF4-FFF2-40B4-BE49-F238E27FC236}">
              <a16:creationId xmlns:a16="http://schemas.microsoft.com/office/drawing/2014/main" id="{9AEB4B81-4F51-EED3-3250-82F24CED0A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39513" y="171450"/>
          <a:ext cx="2271712" cy="302473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177800</xdr:colOff>
          <xdr:row>2</xdr:row>
          <xdr:rowOff>88900</xdr:rowOff>
        </xdr:from>
        <xdr:to>
          <xdr:col>2</xdr:col>
          <xdr:colOff>635000</xdr:colOff>
          <xdr:row>5</xdr:row>
          <xdr:rowOff>152400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800000"/>
                  </a:solidFill>
                  <a:latin typeface="Calibri" pitchFamily="2" charset="0"/>
                  <a:cs typeface="Calibri" pitchFamily="2" charset="0"/>
                </a:rPr>
                <a:t>Click Here!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252413</xdr:colOff>
      <xdr:row>14</xdr:row>
      <xdr:rowOff>57150</xdr:rowOff>
    </xdr:from>
    <xdr:to>
      <xdr:col>4</xdr:col>
      <xdr:colOff>614363</xdr:colOff>
      <xdr:row>27</xdr:row>
      <xdr:rowOff>9525</xdr:rowOff>
    </xdr:to>
    <xdr:pic macro="[0]!ExpensesandIncomesInputdata">
      <xdr:nvPicPr>
        <xdr:cNvPr id="5" name="Graphic 4" descr="Money outline">
          <a:extLst>
            <a:ext uri="{FF2B5EF4-FFF2-40B4-BE49-F238E27FC236}">
              <a16:creationId xmlns:a16="http://schemas.microsoft.com/office/drawing/2014/main" id="{21B9DA10-D958-42FC-0FCC-D9AD0CDDCD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900113" y="3438525"/>
          <a:ext cx="2305050" cy="2305050"/>
        </a:xfrm>
        <a:prstGeom prst="rect">
          <a:avLst/>
        </a:prstGeom>
      </xdr:spPr>
    </xdr:pic>
    <xdr:clientData/>
  </xdr:twoCellAnchor>
  <xdr:twoCellAnchor editAs="oneCell">
    <xdr:from>
      <xdr:col>6</xdr:col>
      <xdr:colOff>323849</xdr:colOff>
      <xdr:row>15</xdr:row>
      <xdr:rowOff>180974</xdr:rowOff>
    </xdr:from>
    <xdr:to>
      <xdr:col>9</xdr:col>
      <xdr:colOff>138112</xdr:colOff>
      <xdr:row>25</xdr:row>
      <xdr:rowOff>128587</xdr:rowOff>
    </xdr:to>
    <xdr:pic macro="[0]!gotogoals">
      <xdr:nvPicPr>
        <xdr:cNvPr id="7" name="Graphic 6" descr="Aspiration outline">
          <a:extLst>
            <a:ext uri="{FF2B5EF4-FFF2-40B4-BE49-F238E27FC236}">
              <a16:creationId xmlns:a16="http://schemas.microsoft.com/office/drawing/2014/main" id="{00E0BA0B-4B66-B49C-F3F5-10EAAB8AF3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4210049" y="3743324"/>
          <a:ext cx="1757363" cy="1757363"/>
        </a:xfrm>
        <a:prstGeom prst="rect">
          <a:avLst/>
        </a:prstGeom>
      </xdr:spPr>
    </xdr:pic>
    <xdr:clientData/>
  </xdr:twoCellAnchor>
  <xdr:twoCellAnchor editAs="oneCell">
    <xdr:from>
      <xdr:col>11</xdr:col>
      <xdr:colOff>347662</xdr:colOff>
      <xdr:row>16</xdr:row>
      <xdr:rowOff>114299</xdr:rowOff>
    </xdr:from>
    <xdr:to>
      <xdr:col>14</xdr:col>
      <xdr:colOff>38099</xdr:colOff>
      <xdr:row>25</xdr:row>
      <xdr:rowOff>119061</xdr:rowOff>
    </xdr:to>
    <xdr:pic macro="[0]!gotooutput">
      <xdr:nvPicPr>
        <xdr:cNvPr id="11" name="Graphic 10" descr="Filter with solid fill">
          <a:extLst>
            <a:ext uri="{FF2B5EF4-FFF2-40B4-BE49-F238E27FC236}">
              <a16:creationId xmlns:a16="http://schemas.microsoft.com/office/drawing/2014/main" id="{A287223F-2CF7-196D-6217-2DCF4A4A2D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7472362" y="3857624"/>
          <a:ext cx="1633537" cy="1633537"/>
        </a:xfrm>
        <a:prstGeom prst="rect">
          <a:avLst/>
        </a:prstGeom>
      </xdr:spPr>
    </xdr:pic>
    <xdr:clientData/>
  </xdr:twoCellAnchor>
  <xdr:twoCellAnchor editAs="oneCell">
    <xdr:from>
      <xdr:col>15</xdr:col>
      <xdr:colOff>433386</xdr:colOff>
      <xdr:row>16</xdr:row>
      <xdr:rowOff>38099</xdr:rowOff>
    </xdr:from>
    <xdr:to>
      <xdr:col>18</xdr:col>
      <xdr:colOff>219075</xdr:colOff>
      <xdr:row>25</xdr:row>
      <xdr:rowOff>138113</xdr:rowOff>
    </xdr:to>
    <xdr:pic macro="[0]!gotofinancialadvice">
      <xdr:nvPicPr>
        <xdr:cNvPr id="15" name="Graphic 14" descr="Bar graph with upward trend outline">
          <a:extLst>
            <a:ext uri="{FF2B5EF4-FFF2-40B4-BE49-F238E27FC236}">
              <a16:creationId xmlns:a16="http://schemas.microsoft.com/office/drawing/2014/main" id="{7B91B7A3-9C60-8B1B-FAF9-C6037C0026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10148886" y="3781424"/>
          <a:ext cx="1728789" cy="172878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431800</xdr:colOff>
          <xdr:row>4</xdr:row>
          <xdr:rowOff>165100</xdr:rowOff>
        </xdr:from>
        <xdr:to>
          <xdr:col>8</xdr:col>
          <xdr:colOff>482600</xdr:colOff>
          <xdr:row>6</xdr:row>
          <xdr:rowOff>165100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419100</xdr:colOff>
          <xdr:row>1</xdr:row>
          <xdr:rowOff>63500</xdr:rowOff>
        </xdr:from>
        <xdr:to>
          <xdr:col>8</xdr:col>
          <xdr:colOff>457200</xdr:colOff>
          <xdr:row>3</xdr:row>
          <xdr:rowOff>63500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457200</xdr:colOff>
          <xdr:row>23</xdr:row>
          <xdr:rowOff>25400</xdr:rowOff>
        </xdr:from>
        <xdr:to>
          <xdr:col>3</xdr:col>
          <xdr:colOff>495300</xdr:colOff>
          <xdr:row>25</xdr:row>
          <xdr:rowOff>152400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Please Enter Monthly Income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840580</xdr:colOff>
      <xdr:row>22</xdr:row>
      <xdr:rowOff>21429</xdr:rowOff>
    </xdr:from>
    <xdr:to>
      <xdr:col>8</xdr:col>
      <xdr:colOff>371475</xdr:colOff>
      <xdr:row>31</xdr:row>
      <xdr:rowOff>180974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EDBD4ED-FE32-1F76-44BA-B22F4646F99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571500</xdr:colOff>
      <xdr:row>3</xdr:row>
      <xdr:rowOff>61912</xdr:rowOff>
    </xdr:from>
    <xdr:to>
      <xdr:col>7</xdr:col>
      <xdr:colOff>609600</xdr:colOff>
      <xdr:row>18</xdr:row>
      <xdr:rowOff>90487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66A9653-4EB8-4044-9E1F-6948FA9A20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444500</xdr:colOff>
          <xdr:row>4</xdr:row>
          <xdr:rowOff>25400</xdr:rowOff>
        </xdr:from>
        <xdr:to>
          <xdr:col>3</xdr:col>
          <xdr:colOff>482600</xdr:colOff>
          <xdr:row>6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469900</xdr:colOff>
          <xdr:row>1</xdr:row>
          <xdr:rowOff>76200</xdr:rowOff>
        </xdr:from>
        <xdr:to>
          <xdr:col>3</xdr:col>
          <xdr:colOff>495300</xdr:colOff>
          <xdr:row>3</xdr:row>
          <xdr:rowOff>63500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3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Output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1214438</xdr:colOff>
      <xdr:row>10</xdr:row>
      <xdr:rowOff>23813</xdr:rowOff>
    </xdr:from>
    <xdr:to>
      <xdr:col>11</xdr:col>
      <xdr:colOff>416719</xdr:colOff>
      <xdr:row>36</xdr:row>
      <xdr:rowOff>85725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A6950AD-00CA-445C-9BE9-57457108A47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101600</xdr:colOff>
          <xdr:row>0</xdr:row>
          <xdr:rowOff>139700</xdr:rowOff>
        </xdr:from>
        <xdr:to>
          <xdr:col>3</xdr:col>
          <xdr:colOff>635000</xdr:colOff>
          <xdr:row>2</xdr:row>
          <xdr:rowOff>139700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Give Me Financial Advice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1631A2D-6758-4A78-9F2E-31D371E01904}" name="Table1" displayName="Table1" ref="A1:E21" totalsRowShown="0" headerRowDxfId="6" headerRowCellStyle="Accent5">
  <autoFilter ref="A1:E21" xr:uid="{01631A2D-6758-4A78-9F2E-31D371E01904}"/>
  <tableColumns count="5">
    <tableColumn id="1" xr3:uid="{511DE5B5-2954-480A-9B20-169548FE3DD1}" name="Date" dataDxfId="5"/>
    <tableColumn id="2" xr3:uid="{783A9366-EF37-47C9-A67A-805AB3E9D5AB}" name="Item"/>
    <tableColumn id="3" xr3:uid="{5DF1D8D5-6835-410C-8268-2D6D875CC84B}" name="Category"/>
    <tableColumn id="4" xr3:uid="{67E63245-5AD0-49BE-9AD4-95A86B9D14EE}" name="Description"/>
    <tableColumn id="5" xr3:uid="{BFA05868-7065-44A4-B17A-30D42791E814}" name="Price" dataDxfId="4" dataCellStyle="Currency"/>
  </tableColumns>
  <tableStyleInfo name="TableStyleLight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2F87A27-DBE7-4AFA-84A8-2305E190A8CC}" name="Table3" displayName="Table3" ref="A23:B31" totalsRowShown="0" headerRowDxfId="3" dataDxfId="2">
  <autoFilter ref="A23:B31" xr:uid="{92F87A27-DBE7-4AFA-84A8-2305E190A8CC}"/>
  <tableColumns count="2">
    <tableColumn id="1" xr3:uid="{4FD62929-6E07-4A67-9821-A3CF0DB95442}" name="Income " dataDxfId="1"/>
    <tableColumn id="2" xr3:uid="{2E5BA5D8-97B3-4C64-9D61-7C3C51E89C27}" name="Expense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CF879-5492-406A-91F5-78B7C29849F6}">
  <sheetPr codeName="Sheet5">
    <tabColor theme="4" tint="-0.499984740745262"/>
  </sheetPr>
  <dimension ref="A1:U44"/>
  <sheetViews>
    <sheetView tabSelected="1" workbookViewId="0">
      <selection activeCell="I14" sqref="I14"/>
    </sheetView>
  </sheetViews>
  <sheetFormatPr baseColWidth="10" defaultColWidth="8.83203125" defaultRowHeight="15" x14ac:dyDescent="0.2"/>
  <sheetData>
    <row r="1" spans="1:21" x14ac:dyDescent="0.2">
      <c r="A1" s="29"/>
      <c r="B1" s="29"/>
      <c r="C1" s="29"/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  <c r="S1" s="29"/>
      <c r="T1" s="29"/>
      <c r="U1" s="29"/>
    </row>
    <row r="2" spans="1:21" x14ac:dyDescent="0.2">
      <c r="A2" s="7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</row>
    <row r="3" spans="1:21" x14ac:dyDescent="0.2">
      <c r="A3" s="7"/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</row>
    <row r="4" spans="1:21" x14ac:dyDescent="0.2">
      <c r="A4" s="7"/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</row>
    <row r="5" spans="1:21" x14ac:dyDescent="0.2">
      <c r="A5" s="7"/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</row>
    <row r="6" spans="1:21" x14ac:dyDescent="0.2">
      <c r="A6" s="7"/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</row>
    <row r="7" spans="1:21" ht="50" x14ac:dyDescent="0.5">
      <c r="A7" s="7"/>
      <c r="B7" s="7"/>
      <c r="C7" s="7"/>
      <c r="D7" s="7"/>
      <c r="E7" s="8" t="s">
        <v>7</v>
      </c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</row>
    <row r="8" spans="1:21" x14ac:dyDescent="0.2">
      <c r="A8" s="7"/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</row>
    <row r="9" spans="1:21" x14ac:dyDescent="0.2">
      <c r="A9" s="7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</row>
    <row r="10" spans="1:21" ht="46.25" customHeight="1" x14ac:dyDescent="0.55000000000000004">
      <c r="A10" s="7"/>
      <c r="B10" s="7"/>
      <c r="C10" s="7"/>
      <c r="D10" s="7"/>
      <c r="E10" s="7"/>
      <c r="F10" s="30" t="s">
        <v>58</v>
      </c>
      <c r="G10" s="30"/>
      <c r="H10" s="30"/>
      <c r="I10" s="30"/>
      <c r="J10" s="30"/>
      <c r="K10" s="30"/>
      <c r="L10" s="30"/>
      <c r="M10" s="30"/>
      <c r="N10" s="30"/>
      <c r="O10" s="30"/>
      <c r="P10" s="30"/>
      <c r="Q10" s="7"/>
      <c r="R10" s="7"/>
      <c r="S10" s="7"/>
      <c r="T10" s="7"/>
      <c r="U10" s="7"/>
    </row>
    <row r="11" spans="1:21" x14ac:dyDescent="0.2">
      <c r="A11" s="7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</row>
    <row r="12" spans="1:21" x14ac:dyDescent="0.2">
      <c r="A12" s="7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</row>
    <row r="13" spans="1:21" x14ac:dyDescent="0.2">
      <c r="A13" s="7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</row>
    <row r="14" spans="1:21" x14ac:dyDescent="0.2">
      <c r="A14" s="9"/>
      <c r="B14" s="9"/>
      <c r="C14" s="9"/>
      <c r="D14" s="9"/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</row>
    <row r="15" spans="1:21" x14ac:dyDescent="0.2">
      <c r="A15" s="9"/>
      <c r="B15" s="9"/>
      <c r="C15" s="9"/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  <c r="R15" s="9"/>
      <c r="S15" s="9"/>
      <c r="T15" s="9"/>
      <c r="U15" s="9"/>
    </row>
    <row r="16" spans="1:21" x14ac:dyDescent="0.2">
      <c r="A16" s="9"/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</row>
    <row r="17" spans="1:21" x14ac:dyDescent="0.2">
      <c r="A17" s="9"/>
      <c r="B17" s="9"/>
      <c r="C17" s="9"/>
      <c r="D17" s="9"/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  <c r="P17" s="9"/>
      <c r="Q17" s="9"/>
      <c r="R17" s="9"/>
      <c r="S17" s="9"/>
      <c r="T17" s="9"/>
      <c r="U17" s="9"/>
    </row>
    <row r="18" spans="1:21" x14ac:dyDescent="0.2">
      <c r="A18" s="9"/>
      <c r="B18" s="9"/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</row>
    <row r="19" spans="1:21" x14ac:dyDescent="0.2">
      <c r="A19" s="9"/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</row>
    <row r="20" spans="1:21" x14ac:dyDescent="0.2">
      <c r="A20" s="9"/>
      <c r="B20" s="9"/>
      <c r="C20" s="9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</row>
    <row r="21" spans="1:21" x14ac:dyDescent="0.2">
      <c r="A21" s="9"/>
      <c r="B21" s="9"/>
      <c r="C21" s="9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</row>
    <row r="22" spans="1:21" x14ac:dyDescent="0.2">
      <c r="A22" s="9"/>
      <c r="B22" s="9"/>
      <c r="C22" s="9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</row>
    <row r="23" spans="1:21" x14ac:dyDescent="0.2">
      <c r="A23" s="9"/>
      <c r="B23" s="9"/>
      <c r="C23" s="9"/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</row>
    <row r="24" spans="1:21" x14ac:dyDescent="0.2">
      <c r="A24" s="9"/>
      <c r="B24" s="9"/>
      <c r="C24" s="9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</row>
    <row r="25" spans="1:21" x14ac:dyDescent="0.2">
      <c r="A25" s="9"/>
      <c r="B25" s="9"/>
      <c r="C25" s="9"/>
      <c r="D25" s="9"/>
      <c r="E25" s="9"/>
      <c r="F25" s="9"/>
      <c r="G25" s="9"/>
      <c r="H25" s="9"/>
      <c r="I25" s="9"/>
      <c r="J25" s="9"/>
      <c r="K25" s="9"/>
      <c r="L25" s="9"/>
      <c r="M25" s="9"/>
      <c r="N25" s="9"/>
      <c r="O25" s="9"/>
      <c r="P25" s="9"/>
      <c r="Q25" s="9"/>
      <c r="R25" s="9"/>
      <c r="S25" s="9"/>
      <c r="T25" s="9"/>
      <c r="U25" s="9"/>
    </row>
    <row r="26" spans="1:21" x14ac:dyDescent="0.2">
      <c r="A26" s="9"/>
      <c r="B26" s="9"/>
      <c r="C26" s="9"/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</row>
    <row r="27" spans="1:21" x14ac:dyDescent="0.2">
      <c r="A27" s="9"/>
      <c r="B27" s="9"/>
      <c r="C27" s="10" t="s">
        <v>8</v>
      </c>
      <c r="D27" s="9"/>
      <c r="E27" s="9"/>
      <c r="F27" s="9"/>
      <c r="G27" s="9"/>
      <c r="H27" s="10" t="s">
        <v>10</v>
      </c>
      <c r="I27" s="9"/>
      <c r="J27" s="9"/>
      <c r="K27" s="9"/>
      <c r="L27" s="9"/>
      <c r="M27" s="12" t="s">
        <v>9</v>
      </c>
      <c r="N27" s="9"/>
      <c r="O27" s="9"/>
      <c r="P27" s="10"/>
      <c r="Q27" s="11" t="s">
        <v>11</v>
      </c>
      <c r="R27" s="9"/>
      <c r="S27" s="9"/>
      <c r="T27" s="9"/>
      <c r="U27" s="9"/>
    </row>
    <row r="28" spans="1:21" x14ac:dyDescent="0.2">
      <c r="A28" s="9"/>
      <c r="B28" s="9"/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</row>
    <row r="29" spans="1:21" x14ac:dyDescent="0.2">
      <c r="A29" s="9"/>
      <c r="B29" s="9"/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</row>
    <row r="30" spans="1:21" x14ac:dyDescent="0.2">
      <c r="A30" s="9"/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</row>
    <row r="31" spans="1:21" x14ac:dyDescent="0.2">
      <c r="A31" s="9"/>
      <c r="B31" s="9"/>
      <c r="C31" s="9"/>
      <c r="D31" s="9"/>
      <c r="E31" s="9"/>
      <c r="F31" s="9"/>
      <c r="G31" s="9"/>
      <c r="H31" s="9"/>
      <c r="I31" s="9"/>
      <c r="J31" s="9"/>
      <c r="K31" s="9"/>
      <c r="L31" s="9"/>
      <c r="M31" s="9"/>
      <c r="N31" s="9"/>
      <c r="O31" s="9"/>
      <c r="P31" s="9"/>
      <c r="Q31" s="9"/>
      <c r="R31" s="9"/>
      <c r="S31" s="9"/>
      <c r="T31" s="9"/>
      <c r="U31" s="9"/>
    </row>
    <row r="32" spans="1:21" x14ac:dyDescent="0.2">
      <c r="A32" s="9"/>
      <c r="B32" s="9"/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</row>
    <row r="33" spans="1:21" x14ac:dyDescent="0.2">
      <c r="A33" s="9"/>
      <c r="B33" s="9"/>
      <c r="C33" s="9"/>
      <c r="D33" s="9"/>
      <c r="E33" s="9"/>
      <c r="F33" s="9"/>
      <c r="G33" s="9"/>
      <c r="H33" s="9"/>
      <c r="I33" s="9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</row>
    <row r="34" spans="1:21" x14ac:dyDescent="0.2">
      <c r="A34" s="9"/>
      <c r="B34" s="9"/>
      <c r="C34" s="9"/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</row>
    <row r="35" spans="1:21" x14ac:dyDescent="0.2">
      <c r="A35" s="9"/>
      <c r="B35" s="9"/>
      <c r="C35" s="9"/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  <c r="P35" s="9"/>
      <c r="Q35" s="9"/>
      <c r="R35" s="9"/>
      <c r="S35" s="9"/>
      <c r="T35" s="9"/>
      <c r="U35" s="9"/>
    </row>
    <row r="36" spans="1:21" x14ac:dyDescent="0.2">
      <c r="A36" s="9"/>
      <c r="B36" s="9"/>
      <c r="C36" s="9"/>
      <c r="D36" s="9"/>
      <c r="E36" s="9"/>
      <c r="F36" s="9"/>
      <c r="G36" s="9"/>
      <c r="H36" s="9"/>
      <c r="I36" s="9"/>
      <c r="J36" s="9"/>
      <c r="K36" s="9"/>
      <c r="L36" s="9"/>
      <c r="M36" s="9"/>
      <c r="N36" s="9"/>
      <c r="O36" s="9"/>
      <c r="P36" s="9"/>
      <c r="Q36" s="9"/>
      <c r="R36" s="9"/>
      <c r="S36" s="9"/>
      <c r="T36" s="9"/>
      <c r="U36" s="9"/>
    </row>
    <row r="37" spans="1:21" x14ac:dyDescent="0.2">
      <c r="A37" s="9"/>
      <c r="B37" s="9"/>
      <c r="C37" s="9"/>
      <c r="D37" s="9"/>
      <c r="E37" s="9"/>
      <c r="F37" s="9"/>
      <c r="G37" s="9"/>
      <c r="H37" s="9"/>
      <c r="I37" s="9"/>
      <c r="J37" s="9"/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</row>
    <row r="38" spans="1:21" x14ac:dyDescent="0.2">
      <c r="A38" s="9"/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</row>
    <row r="39" spans="1:21" x14ac:dyDescent="0.2">
      <c r="A39" s="9"/>
      <c r="B39" s="9"/>
      <c r="C39" s="9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</row>
    <row r="40" spans="1:21" x14ac:dyDescent="0.2">
      <c r="A40" s="9"/>
      <c r="B40" s="9"/>
      <c r="C40" s="9"/>
      <c r="D40" s="9"/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</row>
    <row r="41" spans="1:21" x14ac:dyDescent="0.2">
      <c r="A41" s="9"/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</row>
    <row r="42" spans="1:21" x14ac:dyDescent="0.2">
      <c r="A42" s="9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</row>
    <row r="43" spans="1:21" x14ac:dyDescent="0.2">
      <c r="A43" s="9"/>
      <c r="B43" s="9"/>
      <c r="C43" s="9"/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</row>
    <row r="44" spans="1:21" x14ac:dyDescent="0.2">
      <c r="A44" s="9"/>
      <c r="B44" s="9"/>
      <c r="C44" s="9"/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</row>
  </sheetData>
  <mergeCells count="2">
    <mergeCell ref="A1:U1"/>
    <mergeCell ref="F10:P10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Assignsinglevalue">
                <anchor moveWithCells="1" sizeWithCells="1">
                  <from>
                    <xdr:col>0</xdr:col>
                    <xdr:colOff>177800</xdr:colOff>
                    <xdr:row>2</xdr:row>
                    <xdr:rowOff>88900</xdr:rowOff>
                  </from>
                  <to>
                    <xdr:col>2</xdr:col>
                    <xdr:colOff>635000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 tint="-0.249977111117893"/>
  </sheetPr>
  <dimension ref="A1:E31"/>
  <sheetViews>
    <sheetView workbookViewId="0">
      <selection activeCell="E2" sqref="E2"/>
    </sheetView>
  </sheetViews>
  <sheetFormatPr baseColWidth="10" defaultColWidth="8.83203125" defaultRowHeight="15" x14ac:dyDescent="0.2"/>
  <cols>
    <col min="1" max="1" width="23.5" customWidth="1"/>
    <col min="2" max="2" width="22.5" customWidth="1"/>
    <col min="3" max="3" width="23.83203125" customWidth="1"/>
    <col min="4" max="4" width="24.33203125" customWidth="1"/>
    <col min="5" max="5" width="24.33203125" style="14" customWidth="1"/>
  </cols>
  <sheetData>
    <row r="1" spans="1:5" ht="27" thickBot="1" x14ac:dyDescent="0.35">
      <c r="A1" s="4" t="s">
        <v>0</v>
      </c>
      <c r="B1" s="5" t="s">
        <v>1</v>
      </c>
      <c r="C1" s="5" t="s">
        <v>2</v>
      </c>
      <c r="D1" s="6" t="s">
        <v>3</v>
      </c>
      <c r="E1" s="13" t="s">
        <v>15</v>
      </c>
    </row>
    <row r="2" spans="1:5" ht="16" thickTop="1" x14ac:dyDescent="0.2">
      <c r="A2" s="2">
        <v>45593</v>
      </c>
      <c r="B2" t="s">
        <v>12</v>
      </c>
      <c r="C2" t="s">
        <v>13</v>
      </c>
      <c r="D2" t="s">
        <v>14</v>
      </c>
      <c r="E2" s="14" t="s">
        <v>57</v>
      </c>
    </row>
    <row r="3" spans="1:5" x14ac:dyDescent="0.2">
      <c r="A3" s="2">
        <v>45593</v>
      </c>
      <c r="B3" t="s">
        <v>16</v>
      </c>
      <c r="C3" t="s">
        <v>13</v>
      </c>
      <c r="D3" t="s">
        <v>17</v>
      </c>
      <c r="E3" s="14">
        <v>8.32</v>
      </c>
    </row>
    <row r="4" spans="1:5" x14ac:dyDescent="0.2">
      <c r="A4" s="2">
        <v>45593</v>
      </c>
      <c r="B4" t="s">
        <v>19</v>
      </c>
      <c r="C4" t="s">
        <v>13</v>
      </c>
      <c r="D4" t="s">
        <v>20</v>
      </c>
      <c r="E4" s="14">
        <v>7.47</v>
      </c>
    </row>
    <row r="5" spans="1:5" x14ac:dyDescent="0.2">
      <c r="A5" s="2">
        <v>45593</v>
      </c>
      <c r="B5" t="s">
        <v>21</v>
      </c>
      <c r="C5" t="s">
        <v>13</v>
      </c>
      <c r="D5" t="s">
        <v>20</v>
      </c>
      <c r="E5" s="14">
        <v>15.67</v>
      </c>
    </row>
    <row r="6" spans="1:5" x14ac:dyDescent="0.2">
      <c r="A6" s="2">
        <v>45593</v>
      </c>
      <c r="B6" t="s">
        <v>22</v>
      </c>
      <c r="C6" t="s">
        <v>13</v>
      </c>
      <c r="D6" t="s">
        <v>20</v>
      </c>
      <c r="E6" s="14">
        <v>4.5599999999999996</v>
      </c>
    </row>
    <row r="7" spans="1:5" x14ac:dyDescent="0.2">
      <c r="A7" s="2">
        <v>45593</v>
      </c>
      <c r="B7" t="s">
        <v>23</v>
      </c>
      <c r="C7" t="s">
        <v>13</v>
      </c>
      <c r="D7" t="s">
        <v>20</v>
      </c>
      <c r="E7" s="14">
        <v>9.24</v>
      </c>
    </row>
    <row r="8" spans="1:5" x14ac:dyDescent="0.2">
      <c r="A8" s="2">
        <v>45593</v>
      </c>
      <c r="B8" t="s">
        <v>24</v>
      </c>
      <c r="C8" t="s">
        <v>18</v>
      </c>
      <c r="D8" t="s">
        <v>25</v>
      </c>
      <c r="E8" s="14">
        <v>200</v>
      </c>
    </row>
    <row r="9" spans="1:5" x14ac:dyDescent="0.2">
      <c r="A9" s="2">
        <v>45594</v>
      </c>
      <c r="B9" t="s">
        <v>26</v>
      </c>
      <c r="C9" t="s">
        <v>27</v>
      </c>
      <c r="D9" t="s">
        <v>28</v>
      </c>
      <c r="E9" s="14">
        <v>53.85</v>
      </c>
    </row>
    <row r="10" spans="1:5" x14ac:dyDescent="0.2">
      <c r="A10" s="2">
        <v>45594</v>
      </c>
      <c r="B10" t="s">
        <v>29</v>
      </c>
      <c r="C10" t="s">
        <v>27</v>
      </c>
      <c r="D10" t="s">
        <v>30</v>
      </c>
      <c r="E10" s="14">
        <v>28.88</v>
      </c>
    </row>
    <row r="11" spans="1:5" x14ac:dyDescent="0.2">
      <c r="A11" s="2">
        <v>45596</v>
      </c>
      <c r="B11" t="s">
        <v>31</v>
      </c>
      <c r="C11" t="s">
        <v>32</v>
      </c>
      <c r="D11" t="s">
        <v>33</v>
      </c>
      <c r="E11" s="14">
        <v>585</v>
      </c>
    </row>
    <row r="12" spans="1:5" x14ac:dyDescent="0.2">
      <c r="A12" s="2">
        <v>45597</v>
      </c>
      <c r="B12" t="s">
        <v>34</v>
      </c>
      <c r="C12" t="s">
        <v>35</v>
      </c>
      <c r="D12" t="s">
        <v>36</v>
      </c>
      <c r="E12" s="14">
        <v>78</v>
      </c>
    </row>
    <row r="13" spans="1:5" x14ac:dyDescent="0.2">
      <c r="A13" s="2">
        <v>45597</v>
      </c>
      <c r="B13" t="s">
        <v>37</v>
      </c>
      <c r="C13" t="s">
        <v>35</v>
      </c>
      <c r="D13" t="s">
        <v>38</v>
      </c>
      <c r="E13" s="14">
        <v>42.44</v>
      </c>
    </row>
    <row r="14" spans="1:5" x14ac:dyDescent="0.2">
      <c r="A14" s="2">
        <v>45598</v>
      </c>
      <c r="B14" t="s">
        <v>41</v>
      </c>
      <c r="C14" t="s">
        <v>27</v>
      </c>
      <c r="D14" t="s">
        <v>30</v>
      </c>
      <c r="E14" s="14">
        <v>45</v>
      </c>
    </row>
    <row r="15" spans="1:5" x14ac:dyDescent="0.2">
      <c r="A15" s="2">
        <v>45598</v>
      </c>
      <c r="B15" t="s">
        <v>42</v>
      </c>
      <c r="C15" t="s">
        <v>27</v>
      </c>
      <c r="D15" t="s">
        <v>30</v>
      </c>
      <c r="E15" s="14">
        <v>128</v>
      </c>
    </row>
    <row r="16" spans="1:5" x14ac:dyDescent="0.2">
      <c r="A16" s="2">
        <v>45598</v>
      </c>
      <c r="B16" t="s">
        <v>43</v>
      </c>
      <c r="C16" t="s">
        <v>27</v>
      </c>
      <c r="D16" t="s">
        <v>30</v>
      </c>
      <c r="E16" s="14">
        <v>68</v>
      </c>
    </row>
    <row r="17" spans="1:5" x14ac:dyDescent="0.2">
      <c r="A17" s="2">
        <v>45598</v>
      </c>
      <c r="B17" t="s">
        <v>44</v>
      </c>
      <c r="C17" t="s">
        <v>27</v>
      </c>
      <c r="D17" t="s">
        <v>30</v>
      </c>
      <c r="E17" s="14">
        <v>98</v>
      </c>
    </row>
    <row r="18" spans="1:5" x14ac:dyDescent="0.2">
      <c r="A18" s="2">
        <v>45598</v>
      </c>
      <c r="B18" t="s">
        <v>45</v>
      </c>
      <c r="C18" t="s">
        <v>27</v>
      </c>
      <c r="D18" t="s">
        <v>30</v>
      </c>
      <c r="E18" s="14">
        <v>142</v>
      </c>
    </row>
    <row r="19" spans="1:5" x14ac:dyDescent="0.2">
      <c r="A19" s="2">
        <v>45618</v>
      </c>
      <c r="B19" t="s">
        <v>48</v>
      </c>
      <c r="C19" t="s">
        <v>13</v>
      </c>
      <c r="D19" t="s">
        <v>49</v>
      </c>
      <c r="E19" s="14">
        <v>10</v>
      </c>
    </row>
    <row r="20" spans="1:5" x14ac:dyDescent="0.2">
      <c r="A20" s="2">
        <v>45324</v>
      </c>
      <c r="B20" t="s">
        <v>53</v>
      </c>
      <c r="C20" t="s">
        <v>32</v>
      </c>
      <c r="D20" t="s">
        <v>54</v>
      </c>
      <c r="E20" s="14">
        <v>5</v>
      </c>
    </row>
    <row r="21" spans="1:5" s="19" customFormat="1" x14ac:dyDescent="0.2">
      <c r="A21" s="18"/>
      <c r="E21" s="20"/>
    </row>
    <row r="22" spans="1:5" s="25" customFormat="1" ht="37" x14ac:dyDescent="0.4">
      <c r="A22" s="24" t="s">
        <v>50</v>
      </c>
      <c r="E22" s="26"/>
    </row>
    <row r="23" spans="1:5" ht="24" x14ac:dyDescent="0.3">
      <c r="A23" s="27" t="s">
        <v>51</v>
      </c>
      <c r="B23" s="28" t="s">
        <v>52</v>
      </c>
      <c r="E23"/>
    </row>
    <row r="24" spans="1:5" ht="24" x14ac:dyDescent="0.3">
      <c r="A24" s="23">
        <v>34</v>
      </c>
      <c r="B24" s="16" t="s">
        <v>56</v>
      </c>
      <c r="E24"/>
    </row>
    <row r="25" spans="1:5" ht="24" x14ac:dyDescent="0.3">
      <c r="A25" s="23">
        <v>45</v>
      </c>
      <c r="B25" s="16"/>
      <c r="E25"/>
    </row>
    <row r="26" spans="1:5" ht="24" x14ac:dyDescent="0.3">
      <c r="A26" s="23">
        <v>67</v>
      </c>
      <c r="B26" s="16"/>
      <c r="E26"/>
    </row>
    <row r="27" spans="1:5" ht="24" x14ac:dyDescent="0.3">
      <c r="A27" s="23">
        <v>4000</v>
      </c>
      <c r="B27" s="16"/>
      <c r="E27"/>
    </row>
    <row r="28" spans="1:5" ht="24.5" customHeight="1" x14ac:dyDescent="0.3">
      <c r="A28" s="23">
        <v>26</v>
      </c>
      <c r="B28" s="16"/>
      <c r="E28"/>
    </row>
    <row r="29" spans="1:5" ht="24.5" customHeight="1" x14ac:dyDescent="0.3">
      <c r="A29" s="21" t="s">
        <v>55</v>
      </c>
      <c r="B29" s="22" t="s">
        <v>55</v>
      </c>
    </row>
    <row r="30" spans="1:5" ht="24" x14ac:dyDescent="0.3">
      <c r="A30" s="23">
        <f>SUM(A24:A28)</f>
        <v>4172</v>
      </c>
      <c r="B30" s="23">
        <f>SUM(E3:E20)</f>
        <v>1529.43</v>
      </c>
    </row>
    <row r="31" spans="1:5" ht="24" x14ac:dyDescent="0.3">
      <c r="A31" s="17"/>
      <c r="B31" s="16"/>
    </row>
  </sheetData>
  <phoneticPr fontId="15" type="noConversion"/>
  <conditionalFormatting sqref="E2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{658DDEF8-E305-427C-B291-D04D6A53578C}</x14:id>
        </ext>
      </extLst>
    </cfRule>
  </conditionalFormatting>
  <conditionalFormatting sqref="E2:E21">
    <cfRule type="dataBar" priority="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{F98D82F5-9444-47A1-BA2E-A374BD258F51}</x14:id>
        </ext>
      </extLs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learExpensesIncomes">
                <anchor moveWithCells="1" sizeWithCells="1">
                  <from>
                    <xdr:col>6</xdr:col>
                    <xdr:colOff>431800</xdr:colOff>
                    <xdr:row>4</xdr:row>
                    <xdr:rowOff>165100</xdr:rowOff>
                  </from>
                  <to>
                    <xdr:col>8</xdr:col>
                    <xdr:colOff>482600</xdr:colOff>
                    <xdr:row>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Button3_Click">
                <anchor moveWithCells="1" sizeWithCells="1">
                  <from>
                    <xdr:col>6</xdr:col>
                    <xdr:colOff>419100</xdr:colOff>
                    <xdr:row>1</xdr:row>
                    <xdr:rowOff>63500</xdr:rowOff>
                  </from>
                  <to>
                    <xdr:col>8</xdr:col>
                    <xdr:colOff>457200</xdr:colOff>
                    <xdr:row>3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Button 6">
              <controlPr defaultSize="0" print="0" autoFill="0" autoPict="0" macro="[0]!Assignsinglevalueincome">
                <anchor moveWithCells="1" sizeWithCells="1">
                  <from>
                    <xdr:col>2</xdr:col>
                    <xdr:colOff>457200</xdr:colOff>
                    <xdr:row>23</xdr:row>
                    <xdr:rowOff>25400</xdr:rowOff>
                  </from>
                  <to>
                    <xdr:col>3</xdr:col>
                    <xdr:colOff>495300</xdr:colOff>
                    <xdr:row>25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2">
    <tablePart r:id="rId7"/>
    <tablePart r:id="rId8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8DDEF8-E305-427C-B291-D04D6A53578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E2</xm:sqref>
        </x14:conditionalFormatting>
        <x14:conditionalFormatting xmlns:xm="http://schemas.microsoft.com/office/excel/2006/main">
          <x14:cfRule type="dataBar" id="{F98D82F5-9444-47A1-BA2E-A374BD258F5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E2:E21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EBA61-2BDE-4C30-98DE-5DC76A187758}">
  <sheetPr codeName="Sheet4">
    <tabColor theme="4" tint="0.39997558519241921"/>
  </sheetPr>
  <dimension ref="A1"/>
  <sheetViews>
    <sheetView workbookViewId="0">
      <selection activeCell="K16" sqref="K16"/>
    </sheetView>
  </sheetViews>
  <sheetFormatPr baseColWidth="10" defaultColWidth="8.83203125" defaultRowHeight="15" x14ac:dyDescent="0.2"/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43AB1A-42B3-448A-880B-08A40A955DE9}">
  <sheetPr codeName="Sheet2">
    <tabColor theme="4" tint="0.59999389629810485"/>
  </sheetPr>
  <dimension ref="A1:F8"/>
  <sheetViews>
    <sheetView topLeftCell="A9" workbookViewId="0">
      <selection activeCell="J9" sqref="J9"/>
    </sheetView>
  </sheetViews>
  <sheetFormatPr baseColWidth="10" defaultColWidth="8.83203125" defaultRowHeight="15" x14ac:dyDescent="0.2"/>
  <cols>
    <col min="1" max="1" width="18.1640625" customWidth="1"/>
    <col min="5" max="5" width="14.5" customWidth="1"/>
    <col min="6" max="6" width="25" customWidth="1"/>
    <col min="8" max="8" width="15.5" customWidth="1"/>
    <col min="9" max="9" width="25.33203125" customWidth="1"/>
  </cols>
  <sheetData>
    <row r="1" spans="1:6" x14ac:dyDescent="0.2">
      <c r="A1" s="3" t="s">
        <v>4</v>
      </c>
      <c r="E1" s="1" t="s">
        <v>2</v>
      </c>
      <c r="F1" s="1" t="s">
        <v>39</v>
      </c>
    </row>
    <row r="2" spans="1:6" x14ac:dyDescent="0.2">
      <c r="A2" s="2">
        <v>45597</v>
      </c>
      <c r="E2" t="s">
        <v>27</v>
      </c>
      <c r="F2" s="15">
        <f>SUM('Expenses&amp;Incomes'!E9:E18)</f>
        <v>1269.17</v>
      </c>
    </row>
    <row r="3" spans="1:6" x14ac:dyDescent="0.2">
      <c r="A3" s="3" t="s">
        <v>5</v>
      </c>
      <c r="E3" t="s">
        <v>40</v>
      </c>
      <c r="F3" s="15">
        <f>SUM('Expenses&amp;Incomes'!E8)</f>
        <v>200</v>
      </c>
    </row>
    <row r="4" spans="1:6" x14ac:dyDescent="0.2">
      <c r="A4" s="2">
        <v>45627</v>
      </c>
      <c r="E4" t="s">
        <v>13</v>
      </c>
      <c r="F4" s="15">
        <f>SUM('Expenses&amp;Incomes'!E2:E7)</f>
        <v>45.260000000000005</v>
      </c>
    </row>
    <row r="5" spans="1:6" x14ac:dyDescent="0.2">
      <c r="E5" t="s">
        <v>33</v>
      </c>
      <c r="F5" s="15">
        <f>SUM('Expenses&amp;Incomes'!E11)</f>
        <v>585</v>
      </c>
    </row>
    <row r="6" spans="1:6" x14ac:dyDescent="0.2">
      <c r="E6" t="s">
        <v>35</v>
      </c>
      <c r="F6" s="15">
        <f>SUM('Expenses&amp;Incomes'!E12:E13)</f>
        <v>120.44</v>
      </c>
    </row>
    <row r="7" spans="1:6" x14ac:dyDescent="0.2">
      <c r="E7" t="s">
        <v>46</v>
      </c>
      <c r="F7" s="15">
        <f>SUM(Table1[Price])</f>
        <v>1529.43</v>
      </c>
    </row>
    <row r="8" spans="1:6" x14ac:dyDescent="0.2">
      <c r="F8" s="15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ClearOutput">
                <anchor moveWithCells="1" sizeWithCells="1">
                  <from>
                    <xdr:col>1</xdr:col>
                    <xdr:colOff>444500</xdr:colOff>
                    <xdr:row>4</xdr:row>
                    <xdr:rowOff>25400</xdr:rowOff>
                  </from>
                  <to>
                    <xdr:col>3</xdr:col>
                    <xdr:colOff>482600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4" name="Button 4">
              <controlPr defaultSize="0" print="0" autoFill="0" autoPict="0" macro="[0]!Button4_Click">
                <anchor moveWithCells="1" sizeWithCells="1">
                  <from>
                    <xdr:col>1</xdr:col>
                    <xdr:colOff>469900</xdr:colOff>
                    <xdr:row>1</xdr:row>
                    <xdr:rowOff>76200</xdr:rowOff>
                  </from>
                  <to>
                    <xdr:col>3</xdr:col>
                    <xdr:colOff>495300</xdr:colOff>
                    <xdr:row>3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8ABF3-2254-4FD4-BF40-FBA7A23721CE}">
  <sheetPr codeName="Sheet3">
    <tabColor theme="4" tint="0.79998168889431442"/>
  </sheetPr>
  <dimension ref="A1:J7"/>
  <sheetViews>
    <sheetView workbookViewId="0">
      <selection activeCell="C4" sqref="C4"/>
    </sheetView>
  </sheetViews>
  <sheetFormatPr baseColWidth="10" defaultColWidth="8.83203125" defaultRowHeight="15" x14ac:dyDescent="0.2"/>
  <cols>
    <col min="1" max="1" width="15.33203125" bestFit="1" customWidth="1"/>
    <col min="6" max="6" width="19.33203125" customWidth="1"/>
    <col min="7" max="7" width="17.33203125" customWidth="1"/>
    <col min="8" max="8" width="25.1640625" customWidth="1"/>
    <col min="9" max="9" width="19.83203125" customWidth="1"/>
    <col min="10" max="10" width="25.5" customWidth="1"/>
  </cols>
  <sheetData>
    <row r="1" spans="1:10" x14ac:dyDescent="0.2">
      <c r="A1" t="s">
        <v>6</v>
      </c>
      <c r="F1" s="1" t="s">
        <v>2</v>
      </c>
      <c r="G1" s="1" t="s">
        <v>39</v>
      </c>
      <c r="I1" s="1" t="s">
        <v>2</v>
      </c>
      <c r="J1" s="1" t="s">
        <v>47</v>
      </c>
    </row>
    <row r="2" spans="1:10" x14ac:dyDescent="0.2">
      <c r="F2" t="s">
        <v>27</v>
      </c>
      <c r="G2" s="15">
        <v>1269.17</v>
      </c>
      <c r="I2" t="s">
        <v>27</v>
      </c>
      <c r="J2" s="15"/>
    </row>
    <row r="3" spans="1:10" x14ac:dyDescent="0.2">
      <c r="F3" t="s">
        <v>40</v>
      </c>
      <c r="G3" s="15">
        <v>200</v>
      </c>
      <c r="I3" t="s">
        <v>40</v>
      </c>
      <c r="J3" s="15"/>
    </row>
    <row r="4" spans="1:10" x14ac:dyDescent="0.2">
      <c r="F4" t="s">
        <v>13</v>
      </c>
      <c r="G4" s="15">
        <v>48.71</v>
      </c>
      <c r="I4" t="s">
        <v>13</v>
      </c>
      <c r="J4" s="15"/>
    </row>
    <row r="5" spans="1:10" x14ac:dyDescent="0.2">
      <c r="F5" t="s">
        <v>33</v>
      </c>
      <c r="G5" s="15">
        <v>585</v>
      </c>
      <c r="I5" t="s">
        <v>33</v>
      </c>
      <c r="J5" s="15"/>
    </row>
    <row r="6" spans="1:10" x14ac:dyDescent="0.2">
      <c r="F6" t="s">
        <v>35</v>
      </c>
      <c r="G6" s="15">
        <v>120.44</v>
      </c>
      <c r="I6" t="s">
        <v>35</v>
      </c>
      <c r="J6" s="15"/>
    </row>
    <row r="7" spans="1:10" x14ac:dyDescent="0.2">
      <c r="F7" t="s">
        <v>46</v>
      </c>
      <c r="G7" s="15"/>
      <c r="I7" t="s">
        <v>46</v>
      </c>
      <c r="J7" s="15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FinancialAdvice_Button3_Click">
                <anchor moveWithCells="1" sizeWithCells="1">
                  <from>
                    <xdr:col>1</xdr:col>
                    <xdr:colOff>101600</xdr:colOff>
                    <xdr:row>0</xdr:row>
                    <xdr:rowOff>139700</xdr:rowOff>
                  </from>
                  <to>
                    <xdr:col>3</xdr:col>
                    <xdr:colOff>635000</xdr:colOff>
                    <xdr:row>2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405EFFFDA9C644486FCCB58A8EA5354" ma:contentTypeVersion="8" ma:contentTypeDescription="Create a new document." ma:contentTypeScope="" ma:versionID="f87f14b1ad7bdd05d7d1a921921b4f06">
  <xsd:schema xmlns:xsd="http://www.w3.org/2001/XMLSchema" xmlns:xs="http://www.w3.org/2001/XMLSchema" xmlns:p="http://schemas.microsoft.com/office/2006/metadata/properties" xmlns:ns2="9ad7a586-468b-408f-bee0-f7f70b225374" targetNamespace="http://schemas.microsoft.com/office/2006/metadata/properties" ma:root="true" ma:fieldsID="5614f9cf915cae2de6f82e8189391a14" ns2:_="">
    <xsd:import namespace="9ad7a586-468b-408f-bee0-f7f70b22537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ad7a586-468b-408f-bee0-f7f70b22537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F4B2EFA-4881-4417-A6C1-DDA014447CE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ad7a586-468b-408f-bee0-f7f70b22537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1EFF735-D625-4A91-91D3-D8AC1CA2884C}">
  <ds:schemaRefs>
    <ds:schemaRef ds:uri="http://purl.org/dc/dcmitype/"/>
    <ds:schemaRef ds:uri="http://schemas.microsoft.com/office/2006/documentManagement/types"/>
    <ds:schemaRef ds:uri="http://purl.org/dc/elements/1.1/"/>
    <ds:schemaRef ds:uri="http://schemas.microsoft.com/office/2006/metadata/properties"/>
    <ds:schemaRef ds:uri="9ad7a586-468b-408f-bee0-f7f70b225374"/>
    <ds:schemaRef ds:uri="http://schemas.microsoft.com/office/infopath/2007/PartnerControls"/>
    <ds:schemaRef ds:uri="http://schemas.openxmlformats.org/package/2006/metadata/core-properties"/>
    <ds:schemaRef ds:uri="http://www.w3.org/XML/1998/namespace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9F5BF1E7-AB1F-4F81-A675-581015BCADBC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Introduction</vt:lpstr>
      <vt:lpstr>Expenses&amp;Incomes</vt:lpstr>
      <vt:lpstr>Goals</vt:lpstr>
      <vt:lpstr>Output</vt:lpstr>
      <vt:lpstr>Financial Advice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Gillian Tsoi</dc:creator>
  <cp:keywords/>
  <dc:description/>
  <cp:lastModifiedBy>Mikaela Lee Wo</cp:lastModifiedBy>
  <cp:revision/>
  <dcterms:created xsi:type="dcterms:W3CDTF">2021-10-13T18:04:27Z</dcterms:created>
  <dcterms:modified xsi:type="dcterms:W3CDTF">2026-10-25T05:37:23Z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0x010100A405EFFFDA9C644486FCCB58A8EA5354</vt:lpwstr>
  </property>
</Properties>
</file>